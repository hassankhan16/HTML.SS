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CT FINAL EXAM PREP\"/>
    </mc:Choice>
  </mc:AlternateContent>
  <xr:revisionPtr revIDLastSave="0" documentId="8_{67145F72-45C6-42E8-8A52-636E69EAEA26}" xr6:coauthVersionLast="47" xr6:coauthVersionMax="47" xr10:uidLastSave="{00000000-0000-0000-0000-000000000000}"/>
  <bookViews>
    <workbookView xWindow="-110" yWindow="-110" windowWidth="19420" windowHeight="10300" xr2:uid="{9123CDCC-55D4-4F24-B5C9-1495BBE4B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L2" i="1"/>
  <c r="K2" i="1"/>
  <c r="J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<sst xmlns="http://schemas.openxmlformats.org/spreadsheetml/2006/main" count="250" uniqueCount="45">
  <si>
    <t>EmployeeID</t>
  </si>
  <si>
    <t>EmployeeName</t>
  </si>
  <si>
    <t>Date</t>
  </si>
  <si>
    <t>Attendance</t>
  </si>
  <si>
    <t>Status</t>
  </si>
  <si>
    <t>Remarks</t>
  </si>
  <si>
    <t>E001</t>
  </si>
  <si>
    <t>Ali Khan</t>
  </si>
  <si>
    <t>Present</t>
  </si>
  <si>
    <t>Late</t>
  </si>
  <si>
    <t>Absent</t>
  </si>
  <si>
    <t>Sick leave</t>
  </si>
  <si>
    <t>E002</t>
  </si>
  <si>
    <t>Sara Ahmed</t>
  </si>
  <si>
    <t>Annual leave</t>
  </si>
  <si>
    <t>Traffic delay</t>
  </si>
  <si>
    <t>E003</t>
  </si>
  <si>
    <t>Bilal Sheikh</t>
  </si>
  <si>
    <t>Arrived 15 mins late</t>
  </si>
  <si>
    <t>E004</t>
  </si>
  <si>
    <t>Hina Rehman</t>
  </si>
  <si>
    <t>Traffic jam</t>
  </si>
  <si>
    <t>Family event</t>
  </si>
  <si>
    <t>E005</t>
  </si>
  <si>
    <t>Faisal Qureshi</t>
  </si>
  <si>
    <t>Personal work</t>
  </si>
  <si>
    <t>Overslept</t>
  </si>
  <si>
    <t>E006</t>
  </si>
  <si>
    <t>Nadia Iqbal</t>
  </si>
  <si>
    <t>Family trip</t>
  </si>
  <si>
    <t>E007</t>
  </si>
  <si>
    <t>Ahmed Raza</t>
  </si>
  <si>
    <t>Medical leave</t>
  </si>
  <si>
    <t>E008</t>
  </si>
  <si>
    <t>Ayesha Malik</t>
  </si>
  <si>
    <t>Bus delay</t>
  </si>
  <si>
    <t>Family function</t>
  </si>
  <si>
    <t>E009</t>
  </si>
  <si>
    <t>Usman Tariq</t>
  </si>
  <si>
    <t>E010</t>
  </si>
  <si>
    <t>Komal Shah</t>
  </si>
  <si>
    <t>Metro delay</t>
  </si>
  <si>
    <t>Arrived 25 mins late</t>
  </si>
  <si>
    <t>On Leave</t>
  </si>
  <si>
    <t>10 mins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</si>
</sst>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</cellXfs>
  <cellStyles count="1">
    <cellStyle name="Normal" xfId="0" builtinId="0"/>
  </cellStyles>
  <dxfs count="2"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39A9-8DE0-4EE8-B238-BE410E0AED5F}">
  <dimension ref="A1:L71"/>
  <sheetViews>
    <sheetView tabSelected="1" workbookViewId="0">
      <selection activeCell="B66" sqref="B66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10.54296875" bestFit="1" customWidth="1"/>
    <col min="4" max="4" width="10.36328125" bestFit="1" customWidth="1"/>
    <col min="5" max="5" width="7.81640625" bestFit="1" customWidth="1"/>
    <col min="6" max="6" width="18.453125" bestFit="1" customWidth="1"/>
    <col min="8" max="8" width="11.08984375" bestFit="1" customWidth="1"/>
    <col min="9" max="9" width="7.36328125" bestFit="1" customWidth="1"/>
    <col min="10" max="10" width="6.90625" bestFit="1" customWidth="1"/>
    <col min="11" max="11" width="4.54296875" bestFit="1" customWidth="1"/>
    <col min="12" max="12" width="8.81640625" bestFit="1" customWidth="1"/>
  </cols>
  <sheetData>
    <row r="1" spans="1:12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2" t="s">
        <v>0</v>
      </c>
      <c r="I1" s="13" t="s">
        <v>8</v>
      </c>
      <c r="J1" s="13" t="s">
        <v>10</v>
      </c>
      <c r="K1" s="13" t="s">
        <v>9</v>
      </c>
      <c r="L1" s="14" t="s">
        <v>43</v>
      </c>
    </row>
    <row r="2" spans="1:12" x14ac:dyDescent="0.35">
      <c r="A2" t="s">
        <v>6</v>
      </c>
      <c r="B2" t="s">
        <v>7</v>
      </c>
      <c r="C2" s="1">
        <v>45944</v>
      </c>
      <c r="D2" t="s">
        <v>8</v>
      </c>
      <c r="E2" t="str">
        <f>IF(D2="Present", "OK", IF(D2="Late", "Warning", IF(D2="Absent", "Alert", IF(D2="On Leave",
"Excused", "Unknown"))))</f>
        <v>OK</v>
      </c>
      <c r="H2" s="9" t="s">
        <v>6</v>
      </c>
      <c r="I2" s="10">
        <f>COUNTIFS($A$2:$A$71,$H2,$D$2:$D$71, "Present")</f>
        <v>4</v>
      </c>
      <c r="J2" s="10">
        <f>COUNTIFS($A$2:$A$71,$H2,$D$2:$D$71, "Absent")</f>
        <v>1</v>
      </c>
      <c r="K2" s="10">
        <f>COUNTIFS($A$2:$A$71,$H2,$D$2:$D$71, "Late")</f>
        <v>2</v>
      </c>
      <c r="L2" s="11">
        <f>COUNTIFS($A$2:$A$71,$H2,$D$2:$D$71, "On Leave")</f>
        <v>0</v>
      </c>
    </row>
    <row r="3" spans="1:12" x14ac:dyDescent="0.35">
      <c r="A3" t="s">
        <v>6</v>
      </c>
      <c r="B3" t="s">
        <v>7</v>
      </c>
      <c r="C3" s="1">
        <v>45945</v>
      </c>
      <c r="D3" t="s">
        <v>9</v>
      </c>
      <c r="E3" t="str">
        <f t="shared" ref="E3:E66" si="0">IF(D3="Present", "OK", IF(D3="Late", "Warning", IF(D3="Absent", "Alert", IF(D3="On Leave",
"Excused", "Unknown"))))</f>
        <v>Warning</v>
      </c>
      <c r="F3" t="s">
        <v>42</v>
      </c>
      <c r="H3" s="4" t="s">
        <v>12</v>
      </c>
      <c r="I3" s="3">
        <f t="shared" ref="I3:I11" si="1">COUNTIFS($A$2:$A$71,$H3,$D$2:$D$71, "Present")</f>
        <v>5</v>
      </c>
      <c r="J3" s="3">
        <f t="shared" ref="J3:J11" si="2">COUNTIFS($A$2:$A$71,$H3,$D$2:$D$71, "Absent")</f>
        <v>0</v>
      </c>
      <c r="K3" s="3">
        <f t="shared" ref="K3:K11" si="3">COUNTIFS($A$2:$A$71,$H3,$D$2:$D$71, "Late")</f>
        <v>1</v>
      </c>
      <c r="L3" s="5">
        <f t="shared" ref="L3:L11" si="4">COUNTIFS($A$2:$A$71,$H3,$D$2:$D$71, "On Leave")</f>
        <v>1</v>
      </c>
    </row>
    <row r="4" spans="1:12" x14ac:dyDescent="0.35">
      <c r="A4" t="s">
        <v>6</v>
      </c>
      <c r="B4" t="s">
        <v>7</v>
      </c>
      <c r="C4" s="1">
        <v>45946</v>
      </c>
      <c r="D4" t="s">
        <v>9</v>
      </c>
      <c r="E4" t="str">
        <f t="shared" si="0"/>
        <v>Warning</v>
      </c>
      <c r="F4" t="s">
        <v>11</v>
      </c>
      <c r="H4" s="4" t="s">
        <v>16</v>
      </c>
      <c r="I4" s="3">
        <f t="shared" si="1"/>
        <v>4</v>
      </c>
      <c r="J4" s="3">
        <f t="shared" si="2"/>
        <v>0</v>
      </c>
      <c r="K4" s="3">
        <f t="shared" si="3"/>
        <v>1</v>
      </c>
      <c r="L4" s="5">
        <f t="shared" si="4"/>
        <v>2</v>
      </c>
    </row>
    <row r="5" spans="1:12" x14ac:dyDescent="0.35">
      <c r="A5" t="s">
        <v>6</v>
      </c>
      <c r="B5" t="s">
        <v>7</v>
      </c>
      <c r="C5" s="1">
        <v>45947</v>
      </c>
      <c r="D5" t="s">
        <v>8</v>
      </c>
      <c r="E5" t="str">
        <f t="shared" si="0"/>
        <v>OK</v>
      </c>
      <c r="H5" s="4" t="s">
        <v>19</v>
      </c>
      <c r="I5" s="3">
        <f t="shared" si="1"/>
        <v>5</v>
      </c>
      <c r="J5" s="3">
        <f t="shared" si="2"/>
        <v>0</v>
      </c>
      <c r="K5" s="3">
        <f t="shared" si="3"/>
        <v>1</v>
      </c>
      <c r="L5" s="5">
        <f t="shared" si="4"/>
        <v>1</v>
      </c>
    </row>
    <row r="6" spans="1:12" x14ac:dyDescent="0.35">
      <c r="A6" t="s">
        <v>6</v>
      </c>
      <c r="B6" t="s">
        <v>7</v>
      </c>
      <c r="C6" s="1">
        <v>45948</v>
      </c>
      <c r="D6" t="s">
        <v>8</v>
      </c>
      <c r="E6" t="str">
        <f t="shared" si="0"/>
        <v>OK</v>
      </c>
      <c r="H6" s="4" t="s">
        <v>23</v>
      </c>
      <c r="I6" s="3">
        <f t="shared" si="1"/>
        <v>5</v>
      </c>
      <c r="J6" s="3">
        <f t="shared" si="2"/>
        <v>0</v>
      </c>
      <c r="K6" s="3">
        <f t="shared" si="3"/>
        <v>1</v>
      </c>
      <c r="L6" s="5">
        <f t="shared" si="4"/>
        <v>1</v>
      </c>
    </row>
    <row r="7" spans="1:12" x14ac:dyDescent="0.35">
      <c r="A7" t="s">
        <v>6</v>
      </c>
      <c r="B7" t="s">
        <v>7</v>
      </c>
      <c r="C7" s="1">
        <v>45949</v>
      </c>
      <c r="D7" t="s">
        <v>10</v>
      </c>
      <c r="E7" t="str">
        <f t="shared" si="0"/>
        <v>Alert</v>
      </c>
      <c r="H7" s="4" t="s">
        <v>27</v>
      </c>
      <c r="I7" s="3">
        <f t="shared" si="1"/>
        <v>6</v>
      </c>
      <c r="J7" s="3">
        <f t="shared" si="2"/>
        <v>0</v>
      </c>
      <c r="K7" s="3">
        <f t="shared" si="3"/>
        <v>0</v>
      </c>
      <c r="L7" s="5">
        <f t="shared" si="4"/>
        <v>1</v>
      </c>
    </row>
    <row r="8" spans="1:12" x14ac:dyDescent="0.35">
      <c r="A8" t="s">
        <v>6</v>
      </c>
      <c r="B8" t="s">
        <v>7</v>
      </c>
      <c r="C8" s="1">
        <v>45950</v>
      </c>
      <c r="D8" t="s">
        <v>8</v>
      </c>
      <c r="E8" t="str">
        <f t="shared" si="0"/>
        <v>OK</v>
      </c>
      <c r="H8" s="4" t="s">
        <v>30</v>
      </c>
      <c r="I8" s="3">
        <f t="shared" si="1"/>
        <v>4</v>
      </c>
      <c r="J8" s="3">
        <f t="shared" si="2"/>
        <v>1</v>
      </c>
      <c r="K8" s="3">
        <f t="shared" si="3"/>
        <v>1</v>
      </c>
      <c r="L8" s="5">
        <f t="shared" si="4"/>
        <v>1</v>
      </c>
    </row>
    <row r="9" spans="1:12" x14ac:dyDescent="0.35">
      <c r="A9" t="s">
        <v>12</v>
      </c>
      <c r="B9" t="s">
        <v>13</v>
      </c>
      <c r="C9" s="1">
        <v>45944</v>
      </c>
      <c r="D9" t="s">
        <v>8</v>
      </c>
      <c r="E9" t="str">
        <f t="shared" si="0"/>
        <v>OK</v>
      </c>
      <c r="H9" s="4" t="s">
        <v>33</v>
      </c>
      <c r="I9" s="3">
        <f t="shared" si="1"/>
        <v>5</v>
      </c>
      <c r="J9" s="3">
        <f t="shared" si="2"/>
        <v>0</v>
      </c>
      <c r="K9" s="3">
        <f t="shared" si="3"/>
        <v>1</v>
      </c>
      <c r="L9" s="5">
        <f t="shared" si="4"/>
        <v>1</v>
      </c>
    </row>
    <row r="10" spans="1:12" x14ac:dyDescent="0.35">
      <c r="A10" t="s">
        <v>12</v>
      </c>
      <c r="B10" t="s">
        <v>13</v>
      </c>
      <c r="C10" s="1">
        <v>45945</v>
      </c>
      <c r="D10" t="s">
        <v>8</v>
      </c>
      <c r="E10" t="str">
        <f t="shared" si="0"/>
        <v>OK</v>
      </c>
      <c r="H10" s="4" t="s">
        <v>37</v>
      </c>
      <c r="I10" s="3">
        <f t="shared" si="1"/>
        <v>3</v>
      </c>
      <c r="J10" s="3">
        <f t="shared" si="2"/>
        <v>2</v>
      </c>
      <c r="K10" s="3">
        <f t="shared" si="3"/>
        <v>1</v>
      </c>
      <c r="L10" s="5">
        <f t="shared" si="4"/>
        <v>1</v>
      </c>
    </row>
    <row r="11" spans="1:12" ht="15" thickBot="1" x14ac:dyDescent="0.4">
      <c r="A11" t="s">
        <v>12</v>
      </c>
      <c r="B11" t="s">
        <v>13</v>
      </c>
      <c r="C11" s="1">
        <v>45946</v>
      </c>
      <c r="D11" t="s">
        <v>43</v>
      </c>
      <c r="E11" t="str">
        <f t="shared" si="0"/>
        <v>Excused</v>
      </c>
      <c r="F11" t="s">
        <v>14</v>
      </c>
      <c r="H11" s="6" t="s">
        <v>39</v>
      </c>
      <c r="I11" s="7">
        <f t="shared" si="1"/>
        <v>5</v>
      </c>
      <c r="J11" s="7">
        <f t="shared" si="2"/>
        <v>0</v>
      </c>
      <c r="K11" s="7">
        <f t="shared" si="3"/>
        <v>1</v>
      </c>
      <c r="L11" s="8">
        <f t="shared" si="4"/>
        <v>1</v>
      </c>
    </row>
    <row r="12" spans="1:12" x14ac:dyDescent="0.35">
      <c r="A12" t="s">
        <v>12</v>
      </c>
      <c r="B12" t="s">
        <v>13</v>
      </c>
      <c r="C12" s="1">
        <v>45947</v>
      </c>
      <c r="D12" t="s">
        <v>9</v>
      </c>
      <c r="E12" t="str">
        <f t="shared" si="0"/>
        <v>Warning</v>
      </c>
      <c r="F12" t="s">
        <v>15</v>
      </c>
    </row>
    <row r="13" spans="1:12" x14ac:dyDescent="0.35">
      <c r="A13" t="s">
        <v>12</v>
      </c>
      <c r="B13" t="s">
        <v>13</v>
      </c>
      <c r="C13" s="1">
        <v>45948</v>
      </c>
      <c r="D13" t="s">
        <v>8</v>
      </c>
      <c r="E13" t="str">
        <f t="shared" si="0"/>
        <v>OK</v>
      </c>
    </row>
    <row r="14" spans="1:12" x14ac:dyDescent="0.35">
      <c r="A14" t="s">
        <v>12</v>
      </c>
      <c r="B14" t="s">
        <v>13</v>
      </c>
      <c r="C14" s="1">
        <v>45949</v>
      </c>
      <c r="D14" t="s">
        <v>8</v>
      </c>
      <c r="E14" t="str">
        <f t="shared" si="0"/>
        <v>OK</v>
      </c>
    </row>
    <row r="15" spans="1:12" x14ac:dyDescent="0.35">
      <c r="A15" t="s">
        <v>12</v>
      </c>
      <c r="B15" t="s">
        <v>13</v>
      </c>
      <c r="C15" s="1">
        <v>45950</v>
      </c>
      <c r="D15" t="s">
        <v>8</v>
      </c>
      <c r="E15" t="str">
        <f t="shared" si="0"/>
        <v>OK</v>
      </c>
    </row>
    <row r="16" spans="1:12" x14ac:dyDescent="0.35">
      <c r="A16" t="s">
        <v>16</v>
      </c>
      <c r="B16" t="s">
        <v>17</v>
      </c>
      <c r="C16" s="1">
        <v>45944</v>
      </c>
      <c r="D16" t="s">
        <v>8</v>
      </c>
      <c r="E16" t="str">
        <f t="shared" si="0"/>
        <v>OK</v>
      </c>
    </row>
    <row r="17" spans="1:6" x14ac:dyDescent="0.35">
      <c r="A17" t="s">
        <v>16</v>
      </c>
      <c r="B17" t="s">
        <v>17</v>
      </c>
      <c r="C17" s="1">
        <v>45945</v>
      </c>
      <c r="D17" t="s">
        <v>43</v>
      </c>
      <c r="E17" t="str">
        <f t="shared" si="0"/>
        <v>Excused</v>
      </c>
      <c r="F17" t="s">
        <v>11</v>
      </c>
    </row>
    <row r="18" spans="1:6" x14ac:dyDescent="0.35">
      <c r="A18" t="s">
        <v>16</v>
      </c>
      <c r="B18" t="s">
        <v>17</v>
      </c>
      <c r="C18" s="1">
        <v>45946</v>
      </c>
      <c r="D18" t="s">
        <v>8</v>
      </c>
      <c r="E18" t="str">
        <f t="shared" si="0"/>
        <v>OK</v>
      </c>
    </row>
    <row r="19" spans="1:6" x14ac:dyDescent="0.35">
      <c r="A19" t="s">
        <v>16</v>
      </c>
      <c r="B19" t="s">
        <v>17</v>
      </c>
      <c r="C19" s="1">
        <v>45947</v>
      </c>
      <c r="D19" t="s">
        <v>43</v>
      </c>
      <c r="E19" t="str">
        <f t="shared" si="0"/>
        <v>Excused</v>
      </c>
    </row>
    <row r="20" spans="1:6" x14ac:dyDescent="0.35">
      <c r="A20" t="s">
        <v>16</v>
      </c>
      <c r="B20" t="s">
        <v>17</v>
      </c>
      <c r="C20" s="1">
        <v>45948</v>
      </c>
      <c r="D20" t="s">
        <v>9</v>
      </c>
      <c r="E20" t="str">
        <f t="shared" si="0"/>
        <v>Warning</v>
      </c>
      <c r="F20" t="s">
        <v>44</v>
      </c>
    </row>
    <row r="21" spans="1:6" x14ac:dyDescent="0.35">
      <c r="A21" t="s">
        <v>16</v>
      </c>
      <c r="B21" t="s">
        <v>17</v>
      </c>
      <c r="C21" s="1">
        <v>45949</v>
      </c>
      <c r="D21" t="s">
        <v>8</v>
      </c>
      <c r="E21" t="str">
        <f t="shared" si="0"/>
        <v>OK</v>
      </c>
    </row>
    <row r="22" spans="1:6" x14ac:dyDescent="0.35">
      <c r="A22" t="s">
        <v>16</v>
      </c>
      <c r="B22" t="s">
        <v>17</v>
      </c>
      <c r="C22" s="1">
        <v>45950</v>
      </c>
      <c r="D22" t="s">
        <v>8</v>
      </c>
      <c r="E22" t="str">
        <f t="shared" si="0"/>
        <v>OK</v>
      </c>
    </row>
    <row r="23" spans="1:6" x14ac:dyDescent="0.35">
      <c r="A23" t="s">
        <v>19</v>
      </c>
      <c r="B23" t="s">
        <v>20</v>
      </c>
      <c r="C23" s="1">
        <v>45944</v>
      </c>
      <c r="D23" t="s">
        <v>8</v>
      </c>
      <c r="E23" t="str">
        <f t="shared" si="0"/>
        <v>OK</v>
      </c>
    </row>
    <row r="24" spans="1:6" x14ac:dyDescent="0.35">
      <c r="A24" t="s">
        <v>19</v>
      </c>
      <c r="B24" t="s">
        <v>20</v>
      </c>
      <c r="C24" s="1">
        <v>45945</v>
      </c>
      <c r="D24" t="s">
        <v>8</v>
      </c>
      <c r="E24" t="str">
        <f t="shared" si="0"/>
        <v>OK</v>
      </c>
    </row>
    <row r="25" spans="1:6" x14ac:dyDescent="0.35">
      <c r="A25" t="s">
        <v>19</v>
      </c>
      <c r="B25" t="s">
        <v>20</v>
      </c>
      <c r="C25" s="1">
        <v>45946</v>
      </c>
      <c r="D25" t="s">
        <v>9</v>
      </c>
      <c r="E25" t="str">
        <f t="shared" si="0"/>
        <v>Warning</v>
      </c>
      <c r="F25" t="s">
        <v>21</v>
      </c>
    </row>
    <row r="26" spans="1:6" x14ac:dyDescent="0.35">
      <c r="A26" t="s">
        <v>19</v>
      </c>
      <c r="B26" t="s">
        <v>20</v>
      </c>
      <c r="C26" s="1">
        <v>45947</v>
      </c>
      <c r="D26" t="s">
        <v>43</v>
      </c>
      <c r="E26" t="str">
        <f t="shared" si="0"/>
        <v>Excused</v>
      </c>
      <c r="F26" t="s">
        <v>22</v>
      </c>
    </row>
    <row r="27" spans="1:6" x14ac:dyDescent="0.35">
      <c r="A27" t="s">
        <v>19</v>
      </c>
      <c r="B27" t="s">
        <v>20</v>
      </c>
      <c r="C27" s="1">
        <v>45948</v>
      </c>
      <c r="D27" t="s">
        <v>8</v>
      </c>
      <c r="E27" t="str">
        <f t="shared" si="0"/>
        <v>OK</v>
      </c>
    </row>
    <row r="28" spans="1:6" x14ac:dyDescent="0.35">
      <c r="A28" t="s">
        <v>19</v>
      </c>
      <c r="B28" t="s">
        <v>20</v>
      </c>
      <c r="C28" s="1">
        <v>45949</v>
      </c>
      <c r="D28" t="s">
        <v>8</v>
      </c>
      <c r="E28" t="str">
        <f t="shared" si="0"/>
        <v>OK</v>
      </c>
    </row>
    <row r="29" spans="1:6" x14ac:dyDescent="0.35">
      <c r="A29" t="s">
        <v>19</v>
      </c>
      <c r="B29" t="s">
        <v>20</v>
      </c>
      <c r="C29" s="1">
        <v>45950</v>
      </c>
      <c r="D29" t="s">
        <v>8</v>
      </c>
      <c r="E29" t="str">
        <f t="shared" si="0"/>
        <v>OK</v>
      </c>
    </row>
    <row r="30" spans="1:6" x14ac:dyDescent="0.35">
      <c r="A30" t="s">
        <v>23</v>
      </c>
      <c r="B30" t="s">
        <v>24</v>
      </c>
      <c r="C30" s="1">
        <v>45944</v>
      </c>
      <c r="D30" t="s">
        <v>8</v>
      </c>
      <c r="E30" t="str">
        <f t="shared" si="0"/>
        <v>OK</v>
      </c>
    </row>
    <row r="31" spans="1:6" x14ac:dyDescent="0.35">
      <c r="A31" t="s">
        <v>23</v>
      </c>
      <c r="B31" t="s">
        <v>24</v>
      </c>
      <c r="C31" s="1">
        <v>45945</v>
      </c>
      <c r="D31" t="s">
        <v>8</v>
      </c>
      <c r="E31" t="str">
        <f t="shared" si="0"/>
        <v>OK</v>
      </c>
    </row>
    <row r="32" spans="1:6" x14ac:dyDescent="0.35">
      <c r="A32" t="s">
        <v>23</v>
      </c>
      <c r="B32" t="s">
        <v>24</v>
      </c>
      <c r="C32" s="1">
        <v>45946</v>
      </c>
      <c r="D32" t="s">
        <v>8</v>
      </c>
      <c r="E32" t="str">
        <f t="shared" si="0"/>
        <v>OK</v>
      </c>
    </row>
    <row r="33" spans="1:6" x14ac:dyDescent="0.35">
      <c r="A33" t="s">
        <v>23</v>
      </c>
      <c r="B33" t="s">
        <v>24</v>
      </c>
      <c r="C33" s="1">
        <v>45947</v>
      </c>
      <c r="D33" t="s">
        <v>43</v>
      </c>
      <c r="E33" t="str">
        <f t="shared" si="0"/>
        <v>Excused</v>
      </c>
      <c r="F33" t="s">
        <v>25</v>
      </c>
    </row>
    <row r="34" spans="1:6" x14ac:dyDescent="0.35">
      <c r="A34" t="s">
        <v>23</v>
      </c>
      <c r="B34" t="s">
        <v>24</v>
      </c>
      <c r="C34" s="1">
        <v>45948</v>
      </c>
      <c r="D34" t="s">
        <v>8</v>
      </c>
      <c r="E34" t="str">
        <f t="shared" si="0"/>
        <v>OK</v>
      </c>
    </row>
    <row r="35" spans="1:6" x14ac:dyDescent="0.35">
      <c r="A35" t="s">
        <v>23</v>
      </c>
      <c r="B35" t="s">
        <v>24</v>
      </c>
      <c r="C35" s="1">
        <v>45949</v>
      </c>
      <c r="D35" t="s">
        <v>8</v>
      </c>
      <c r="E35" t="str">
        <f t="shared" si="0"/>
        <v>OK</v>
      </c>
    </row>
    <row r="36" spans="1:6" x14ac:dyDescent="0.35">
      <c r="A36" t="s">
        <v>23</v>
      </c>
      <c r="B36" t="s">
        <v>24</v>
      </c>
      <c r="C36" s="1">
        <v>45950</v>
      </c>
      <c r="D36" t="s">
        <v>9</v>
      </c>
      <c r="E36" t="str">
        <f t="shared" si="0"/>
        <v>Warning</v>
      </c>
      <c r="F36" t="s">
        <v>26</v>
      </c>
    </row>
    <row r="37" spans="1:6" x14ac:dyDescent="0.35">
      <c r="A37" t="s">
        <v>27</v>
      </c>
      <c r="B37" t="s">
        <v>28</v>
      </c>
      <c r="C37" s="1">
        <v>45944</v>
      </c>
      <c r="D37" t="s">
        <v>8</v>
      </c>
      <c r="E37" t="str">
        <f t="shared" si="0"/>
        <v>OK</v>
      </c>
    </row>
    <row r="38" spans="1:6" x14ac:dyDescent="0.35">
      <c r="A38" t="s">
        <v>27</v>
      </c>
      <c r="B38" t="s">
        <v>28</v>
      </c>
      <c r="C38" s="1">
        <v>45945</v>
      </c>
      <c r="D38" t="s">
        <v>8</v>
      </c>
      <c r="E38" t="str">
        <f t="shared" si="0"/>
        <v>OK</v>
      </c>
    </row>
    <row r="39" spans="1:6" x14ac:dyDescent="0.35">
      <c r="A39" t="s">
        <v>27</v>
      </c>
      <c r="B39" t="s">
        <v>28</v>
      </c>
      <c r="C39" s="1">
        <v>45946</v>
      </c>
      <c r="D39" t="s">
        <v>8</v>
      </c>
      <c r="E39" t="str">
        <f t="shared" si="0"/>
        <v>OK</v>
      </c>
    </row>
    <row r="40" spans="1:6" x14ac:dyDescent="0.35">
      <c r="A40" t="s">
        <v>27</v>
      </c>
      <c r="B40" t="s">
        <v>28</v>
      </c>
      <c r="C40" s="1">
        <v>45947</v>
      </c>
      <c r="D40" t="s">
        <v>8</v>
      </c>
      <c r="E40" t="str">
        <f t="shared" si="0"/>
        <v>OK</v>
      </c>
    </row>
    <row r="41" spans="1:6" x14ac:dyDescent="0.35">
      <c r="A41" t="s">
        <v>27</v>
      </c>
      <c r="B41" t="s">
        <v>28</v>
      </c>
      <c r="C41" s="1">
        <v>45948</v>
      </c>
      <c r="D41" t="s">
        <v>43</v>
      </c>
      <c r="E41" t="str">
        <f t="shared" si="0"/>
        <v>Excused</v>
      </c>
      <c r="F41" t="s">
        <v>29</v>
      </c>
    </row>
    <row r="42" spans="1:6" x14ac:dyDescent="0.35">
      <c r="A42" t="s">
        <v>27</v>
      </c>
      <c r="B42" t="s">
        <v>28</v>
      </c>
      <c r="C42" s="1">
        <v>45949</v>
      </c>
      <c r="D42" t="s">
        <v>8</v>
      </c>
      <c r="E42" t="str">
        <f t="shared" si="0"/>
        <v>OK</v>
      </c>
    </row>
    <row r="43" spans="1:6" x14ac:dyDescent="0.35">
      <c r="A43" t="s">
        <v>27</v>
      </c>
      <c r="B43" t="s">
        <v>28</v>
      </c>
      <c r="C43" s="1">
        <v>45950</v>
      </c>
      <c r="D43" t="s">
        <v>8</v>
      </c>
      <c r="E43" t="str">
        <f t="shared" si="0"/>
        <v>OK</v>
      </c>
    </row>
    <row r="44" spans="1:6" x14ac:dyDescent="0.35">
      <c r="A44" t="s">
        <v>30</v>
      </c>
      <c r="B44" t="s">
        <v>31</v>
      </c>
      <c r="C44" s="1">
        <v>45944</v>
      </c>
      <c r="D44" t="s">
        <v>9</v>
      </c>
      <c r="E44" t="str">
        <f t="shared" si="0"/>
        <v>Warning</v>
      </c>
      <c r="F44" t="s">
        <v>18</v>
      </c>
    </row>
    <row r="45" spans="1:6" x14ac:dyDescent="0.35">
      <c r="A45" t="s">
        <v>30</v>
      </c>
      <c r="B45" t="s">
        <v>31</v>
      </c>
      <c r="C45" s="1">
        <v>45945</v>
      </c>
      <c r="D45" t="s">
        <v>8</v>
      </c>
      <c r="E45" t="str">
        <f t="shared" si="0"/>
        <v>OK</v>
      </c>
    </row>
    <row r="46" spans="1:6" x14ac:dyDescent="0.35">
      <c r="A46" t="s">
        <v>30</v>
      </c>
      <c r="B46" t="s">
        <v>31</v>
      </c>
      <c r="C46" s="1">
        <v>45946</v>
      </c>
      <c r="D46" t="s">
        <v>8</v>
      </c>
      <c r="E46" t="str">
        <f t="shared" si="0"/>
        <v>OK</v>
      </c>
    </row>
    <row r="47" spans="1:6" x14ac:dyDescent="0.35">
      <c r="A47" t="s">
        <v>30</v>
      </c>
      <c r="B47" t="s">
        <v>31</v>
      </c>
      <c r="C47" s="1">
        <v>45947</v>
      </c>
      <c r="D47" t="s">
        <v>8</v>
      </c>
      <c r="E47" t="str">
        <f t="shared" si="0"/>
        <v>OK</v>
      </c>
    </row>
    <row r="48" spans="1:6" x14ac:dyDescent="0.35">
      <c r="A48" t="s">
        <v>30</v>
      </c>
      <c r="B48" t="s">
        <v>31</v>
      </c>
      <c r="C48" s="1">
        <v>45948</v>
      </c>
      <c r="D48" t="s">
        <v>43</v>
      </c>
      <c r="E48" t="str">
        <f t="shared" si="0"/>
        <v>Excused</v>
      </c>
      <c r="F48" t="s">
        <v>32</v>
      </c>
    </row>
    <row r="49" spans="1:6" x14ac:dyDescent="0.35">
      <c r="A49" t="s">
        <v>30</v>
      </c>
      <c r="B49" t="s">
        <v>31</v>
      </c>
      <c r="C49" s="1">
        <v>45949</v>
      </c>
      <c r="D49" t="s">
        <v>8</v>
      </c>
      <c r="E49" t="str">
        <f t="shared" si="0"/>
        <v>OK</v>
      </c>
    </row>
    <row r="50" spans="1:6" x14ac:dyDescent="0.35">
      <c r="A50" t="s">
        <v>30</v>
      </c>
      <c r="B50" t="s">
        <v>31</v>
      </c>
      <c r="C50" s="1">
        <v>45950</v>
      </c>
      <c r="D50" t="s">
        <v>10</v>
      </c>
      <c r="E50" t="str">
        <f t="shared" si="0"/>
        <v>Alert</v>
      </c>
    </row>
    <row r="51" spans="1:6" x14ac:dyDescent="0.35">
      <c r="A51" t="s">
        <v>33</v>
      </c>
      <c r="B51" t="s">
        <v>34</v>
      </c>
      <c r="C51" s="1">
        <v>45944</v>
      </c>
      <c r="D51" t="s">
        <v>8</v>
      </c>
      <c r="E51" t="str">
        <f t="shared" si="0"/>
        <v>OK</v>
      </c>
    </row>
    <row r="52" spans="1:6" x14ac:dyDescent="0.35">
      <c r="A52" t="s">
        <v>33</v>
      </c>
      <c r="B52" t="s">
        <v>34</v>
      </c>
      <c r="C52" s="1">
        <v>45945</v>
      </c>
      <c r="D52" t="s">
        <v>9</v>
      </c>
      <c r="E52" t="str">
        <f t="shared" si="0"/>
        <v>Warning</v>
      </c>
      <c r="F52" t="s">
        <v>35</v>
      </c>
    </row>
    <row r="53" spans="1:6" x14ac:dyDescent="0.35">
      <c r="A53" t="s">
        <v>33</v>
      </c>
      <c r="B53" t="s">
        <v>34</v>
      </c>
      <c r="C53" s="1">
        <v>45946</v>
      </c>
      <c r="D53" t="s">
        <v>8</v>
      </c>
      <c r="E53" t="str">
        <f t="shared" si="0"/>
        <v>OK</v>
      </c>
    </row>
    <row r="54" spans="1:6" x14ac:dyDescent="0.35">
      <c r="A54" t="s">
        <v>33</v>
      </c>
      <c r="B54" t="s">
        <v>34</v>
      </c>
      <c r="C54" s="1">
        <v>45947</v>
      </c>
      <c r="D54" t="s">
        <v>8</v>
      </c>
      <c r="E54" t="str">
        <f t="shared" si="0"/>
        <v>OK</v>
      </c>
    </row>
    <row r="55" spans="1:6" x14ac:dyDescent="0.35">
      <c r="A55" t="s">
        <v>33</v>
      </c>
      <c r="B55" t="s">
        <v>34</v>
      </c>
      <c r="C55" s="1">
        <v>45948</v>
      </c>
      <c r="D55" t="s">
        <v>43</v>
      </c>
      <c r="E55" t="str">
        <f t="shared" si="0"/>
        <v>Excused</v>
      </c>
      <c r="F55" t="s">
        <v>36</v>
      </c>
    </row>
    <row r="56" spans="1:6" x14ac:dyDescent="0.35">
      <c r="A56" t="s">
        <v>33</v>
      </c>
      <c r="B56" t="s">
        <v>34</v>
      </c>
      <c r="C56" s="1">
        <v>45949</v>
      </c>
      <c r="D56" t="s">
        <v>8</v>
      </c>
      <c r="E56" t="str">
        <f t="shared" si="0"/>
        <v>OK</v>
      </c>
    </row>
    <row r="57" spans="1:6" x14ac:dyDescent="0.35">
      <c r="A57" t="s">
        <v>33</v>
      </c>
      <c r="B57" t="s">
        <v>34</v>
      </c>
      <c r="C57" s="1">
        <v>45950</v>
      </c>
      <c r="D57" t="s">
        <v>8</v>
      </c>
      <c r="E57" t="str">
        <f t="shared" si="0"/>
        <v>OK</v>
      </c>
    </row>
    <row r="58" spans="1:6" x14ac:dyDescent="0.35">
      <c r="A58" t="s">
        <v>37</v>
      </c>
      <c r="B58" t="s">
        <v>38</v>
      </c>
      <c r="C58" s="1">
        <v>45944</v>
      </c>
      <c r="D58" t="s">
        <v>8</v>
      </c>
      <c r="E58" t="str">
        <f t="shared" si="0"/>
        <v>OK</v>
      </c>
    </row>
    <row r="59" spans="1:6" x14ac:dyDescent="0.35">
      <c r="A59" t="s">
        <v>37</v>
      </c>
      <c r="B59" t="s">
        <v>38</v>
      </c>
      <c r="C59" s="1">
        <v>45945</v>
      </c>
      <c r="D59" t="s">
        <v>43</v>
      </c>
      <c r="E59" t="str">
        <f t="shared" si="0"/>
        <v>Excused</v>
      </c>
      <c r="F59" t="s">
        <v>11</v>
      </c>
    </row>
    <row r="60" spans="1:6" x14ac:dyDescent="0.35">
      <c r="A60" t="s">
        <v>37</v>
      </c>
      <c r="B60" t="s">
        <v>38</v>
      </c>
      <c r="C60" s="1">
        <v>45946</v>
      </c>
      <c r="D60" t="s">
        <v>8</v>
      </c>
      <c r="E60" t="str">
        <f t="shared" si="0"/>
        <v>OK</v>
      </c>
    </row>
    <row r="61" spans="1:6" x14ac:dyDescent="0.35">
      <c r="A61" t="s">
        <v>37</v>
      </c>
      <c r="B61" t="s">
        <v>38</v>
      </c>
      <c r="C61" s="1">
        <v>45947</v>
      </c>
      <c r="D61" t="s">
        <v>9</v>
      </c>
      <c r="E61" t="str">
        <f t="shared" si="0"/>
        <v>Warning</v>
      </c>
      <c r="F61" t="s">
        <v>26</v>
      </c>
    </row>
    <row r="62" spans="1:6" x14ac:dyDescent="0.35">
      <c r="A62" t="s">
        <v>37</v>
      </c>
      <c r="B62" t="s">
        <v>38</v>
      </c>
      <c r="C62" s="1">
        <v>45948</v>
      </c>
      <c r="D62" t="s">
        <v>8</v>
      </c>
      <c r="E62" t="str">
        <f t="shared" si="0"/>
        <v>OK</v>
      </c>
    </row>
    <row r="63" spans="1:6" x14ac:dyDescent="0.35">
      <c r="A63" t="s">
        <v>37</v>
      </c>
      <c r="B63" t="s">
        <v>38</v>
      </c>
      <c r="C63" s="1">
        <v>45949</v>
      </c>
      <c r="D63" t="s">
        <v>10</v>
      </c>
      <c r="E63" t="str">
        <f t="shared" si="0"/>
        <v>Alert</v>
      </c>
    </row>
    <row r="64" spans="1:6" x14ac:dyDescent="0.35">
      <c r="A64" t="s">
        <v>37</v>
      </c>
      <c r="B64" t="s">
        <v>38</v>
      </c>
      <c r="C64" s="1">
        <v>45950</v>
      </c>
      <c r="D64" t="s">
        <v>10</v>
      </c>
      <c r="E64" t="str">
        <f t="shared" si="0"/>
        <v>Alert</v>
      </c>
    </row>
    <row r="65" spans="1:6" x14ac:dyDescent="0.35">
      <c r="A65" t="s">
        <v>39</v>
      </c>
      <c r="B65" t="s">
        <v>40</v>
      </c>
      <c r="C65" s="1">
        <v>45944</v>
      </c>
      <c r="D65" t="s">
        <v>8</v>
      </c>
      <c r="E65" t="str">
        <f t="shared" si="0"/>
        <v>OK</v>
      </c>
    </row>
    <row r="66" spans="1:6" x14ac:dyDescent="0.35">
      <c r="A66" t="s">
        <v>39</v>
      </c>
      <c r="B66" t="s">
        <v>40</v>
      </c>
      <c r="C66" s="1">
        <v>45945</v>
      </c>
      <c r="D66" t="s">
        <v>8</v>
      </c>
      <c r="E66" t="str">
        <f t="shared" si="0"/>
        <v>OK</v>
      </c>
    </row>
    <row r="67" spans="1:6" x14ac:dyDescent="0.35">
      <c r="A67" t="s">
        <v>39</v>
      </c>
      <c r="B67" t="s">
        <v>40</v>
      </c>
      <c r="C67" s="1">
        <v>45946</v>
      </c>
      <c r="D67" t="s">
        <v>9</v>
      </c>
      <c r="E67" t="str">
        <f t="shared" ref="E67:E71" si="5">IF(D67="Present", "OK", IF(D67="Late", "Warning", IF(D67="Absent", "Alert", IF(D67="On Leave",
"Excused", "Unknown"))))</f>
        <v>Warning</v>
      </c>
      <c r="F67" t="s">
        <v>41</v>
      </c>
    </row>
    <row r="68" spans="1:6" x14ac:dyDescent="0.35">
      <c r="A68" t="s">
        <v>39</v>
      </c>
      <c r="B68" t="s">
        <v>40</v>
      </c>
      <c r="C68" s="1">
        <v>45947</v>
      </c>
      <c r="D68" t="s">
        <v>8</v>
      </c>
      <c r="E68" t="str">
        <f t="shared" si="5"/>
        <v>OK</v>
      </c>
    </row>
    <row r="69" spans="1:6" x14ac:dyDescent="0.35">
      <c r="A69" t="s">
        <v>39</v>
      </c>
      <c r="B69" t="s">
        <v>40</v>
      </c>
      <c r="C69" s="1">
        <v>45948</v>
      </c>
      <c r="D69" t="s">
        <v>43</v>
      </c>
      <c r="E69" t="str">
        <f t="shared" si="5"/>
        <v>Excused</v>
      </c>
      <c r="F69" t="s">
        <v>22</v>
      </c>
    </row>
    <row r="70" spans="1:6" x14ac:dyDescent="0.35">
      <c r="A70" t="s">
        <v>39</v>
      </c>
      <c r="B70" t="s">
        <v>40</v>
      </c>
      <c r="C70" s="1">
        <v>45949</v>
      </c>
      <c r="D70" t="s">
        <v>8</v>
      </c>
      <c r="E70" t="str">
        <f t="shared" si="5"/>
        <v>OK</v>
      </c>
    </row>
    <row r="71" spans="1:6" x14ac:dyDescent="0.35">
      <c r="A71" t="s">
        <v>39</v>
      </c>
      <c r="B71" t="s">
        <v>40</v>
      </c>
      <c r="C71" s="1">
        <v>45950</v>
      </c>
      <c r="D71" t="s">
        <v>8</v>
      </c>
      <c r="E71" t="str">
        <f t="shared" si="5"/>
        <v>OK</v>
      </c>
    </row>
  </sheetData>
  <phoneticPr fontId="2" type="noConversion"/>
  <conditionalFormatting sqref="D2:D71">
    <cfRule type="expression" dxfId="1" priority="1">
      <formula>D2="Present"</formula>
    </cfRule>
    <cfRule type="expression" dxfId="0" priority="2">
      <formula>OR(D2="Absent", D2="Late")</formula>
    </cfRule>
  </conditionalFormatting>
  <dataValidations count="1">
    <dataValidation type="list" allowBlank="1" showInputMessage="1" showErrorMessage="1" sqref="D2:D71" xr:uid="{7B44DEB6-8F77-4479-8C42-17BF0C383E78}">
      <formula1>"Present, Absent, Late, On Leave"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Sohail</dc:creator>
  <cp:lastModifiedBy>Sameer Khan</cp:lastModifiedBy>
  <dcterms:created xsi:type="dcterms:W3CDTF">2025-10-22T14:16:20Z</dcterms:created>
  <dcterms:modified xsi:type="dcterms:W3CDTF">2025-12-29T18:22:38Z</dcterms:modified>
</cp:coreProperties>
</file>